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B4C11C71-33C4-4601-974F-9FA29A79F731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  <c r="A8" i="1"/>
  <c r="A9" i="1"/>
  <c r="A10" i="1"/>
  <c r="A11" i="1"/>
  <c r="A12" i="1"/>
  <c r="A13" i="1"/>
  <c r="A14" i="1"/>
  <c r="A9" i="2"/>
  <c r="A15" i="1"/>
  <c r="A3" i="2"/>
  <c r="A2" i="2"/>
  <c r="A6" i="2"/>
  <c r="A7" i="2"/>
  <c r="A5" i="2"/>
  <c r="A4" i="2"/>
  <c r="A4" i="1"/>
  <c r="A5" i="1"/>
  <c r="A6" i="1"/>
  <c r="A7" i="1"/>
  <c r="A3" i="1"/>
  <c r="A2" i="1"/>
</calcChain>
</file>

<file path=xl/sharedStrings.xml><?xml version="1.0" encoding="utf-8"?>
<sst xmlns="http://schemas.openxmlformats.org/spreadsheetml/2006/main" count="283" uniqueCount="137">
  <si>
    <t>Scenario ID</t>
  </si>
  <si>
    <t>Module</t>
  </si>
  <si>
    <t>Scenario Description</t>
  </si>
  <si>
    <t>Priority</t>
  </si>
  <si>
    <t>Status</t>
  </si>
  <si>
    <t>Not Executed</t>
  </si>
  <si>
    <t>Landing Page</t>
  </si>
  <si>
    <t>Verify landing page loads successfully when accessed via valid URL</t>
  </si>
  <si>
    <t>P2</t>
  </si>
  <si>
    <t>Executed</t>
  </si>
  <si>
    <t>Verify “Features” button scrolls or navigates to Features section</t>
  </si>
  <si>
    <t>P3</t>
  </si>
  <si>
    <t>Failed</t>
  </si>
  <si>
    <t>Verify “Login” button redirects user to Login page</t>
  </si>
  <si>
    <t>Verify “Sign Up” button redirects user to Registration page</t>
  </si>
  <si>
    <t>Blocked</t>
  </si>
  <si>
    <t>Verify “Start Free Drafting” button redirects user to Registration page</t>
  </si>
  <si>
    <t>In Progress</t>
  </si>
  <si>
    <t>Verify “Get Started Now” button redirects user to Registration page</t>
  </si>
  <si>
    <t>Verify that pricing-related call-to-action text matches actual business model.</t>
  </si>
  <si>
    <t>P1</t>
  </si>
  <si>
    <t>Verify Hindi language tab loads correct embedded Hindi YouTube video</t>
  </si>
  <si>
    <t>Value</t>
  </si>
  <si>
    <t>Verify English language tab loads correct embedded English YouTube video</t>
  </si>
  <si>
    <t>Critical</t>
  </si>
  <si>
    <t>Verify switching between Hindi and English tabs dynamically updates embedded video</t>
  </si>
  <si>
    <t>High</t>
  </si>
  <si>
    <t>Verify embedded YouTube video loads successfully without console errors</t>
  </si>
  <si>
    <t>Medium</t>
  </si>
  <si>
    <t>Verify landing page UI elements render correctly on mobile view</t>
  </si>
  <si>
    <t>P4</t>
  </si>
  <si>
    <t>Low</t>
  </si>
  <si>
    <t>Verify direct access to restricted routes (e.g., /dashboard) without login is blocked</t>
  </si>
  <si>
    <t>Registration Page</t>
  </si>
  <si>
    <t>Verify that QR image is expandable for UPI payment</t>
  </si>
  <si>
    <t>TS_ND_15</t>
  </si>
  <si>
    <t>Home Page</t>
  </si>
  <si>
    <t xml:space="preserve">Verify creating draft work flow </t>
  </si>
  <si>
    <t>TS_LD_16</t>
  </si>
  <si>
    <t>Letter Drafting Page</t>
  </si>
  <si>
    <t>Verify that on pressing back button in creating drafts redirects to home page</t>
  </si>
  <si>
    <t>TS_BP_17</t>
  </si>
  <si>
    <t>Businesses Page</t>
  </si>
  <si>
    <t>Verify saving business flow</t>
  </si>
  <si>
    <t>TS_VAL_18</t>
  </si>
  <si>
    <t>Letter Drafting Page
Businesses Page
Recipient Page</t>
  </si>
  <si>
    <t>Verify required input fields in recipient flowVerify the system displays proper validation messages when required fields are left blank during drafting letter/businesses/recipient.</t>
  </si>
  <si>
    <t>Test Case ID</t>
  </si>
  <si>
    <t>Title</t>
  </si>
  <si>
    <t>Preconditions</t>
  </si>
  <si>
    <t>Steps</t>
  </si>
  <si>
    <t>Test Data</t>
  </si>
  <si>
    <t>Expected Result</t>
  </si>
  <si>
    <t>Actual Result</t>
  </si>
  <si>
    <t>Severity</t>
  </si>
  <si>
    <t>Comments</t>
  </si>
  <si>
    <t>TS_LP_01</t>
  </si>
  <si>
    <t>Verify landing page loads successfully via valid URL</t>
  </si>
  <si>
    <t>• Stable Internet Connection
• Supported Browser installed (Chrome ver.: 145.0.7632.117 )</t>
  </si>
  <si>
    <t>• Open Browser
• Enter URL: https://letter-drafting.vercel.app/
• Press Enter
• Wait for page to fully load.</t>
  </si>
  <si>
    <t>Valid production URL
https://letter-drafting.vercel.app</t>
  </si>
  <si>
    <t>• Landing page loads without error.
• No 404/500 error displayed.
• All primary UI elements (logo, login, sign up, buttons, language tabs, video frame) are visible.
• No critical console errors.</t>
  </si>
  <si>
    <t>Page loaded successfully in 4.22 seconds
25 network requests
No 4xx or 5xx errors</t>
  </si>
  <si>
    <t>Passed</t>
  </si>
  <si>
    <t>N/A</t>
  </si>
  <si>
    <t>TS_LP_02</t>
  </si>
  <si>
    <t>Verify Features button scroll behavior</t>
  </si>
  <si>
    <t>• User is on homepage
• Page fully loaded
• Internet connection active</t>
  </si>
  <si>
    <t>• Open Landing Page
• Click on View Feature Button</t>
  </si>
  <si>
    <t>• 'Base URL'
• Expected anchor ID: features</t>
  </si>
  <si>
    <r>
      <rPr>
        <sz val="12"/>
        <color rgb="FF000000"/>
        <rFont val="Calibri"/>
        <scheme val="minor"/>
      </rPr>
      <t xml:space="preserve">• Page should scroll smoothly to Features section
</t>
    </r>
    <r>
      <rPr>
        <b/>
        <sz val="12"/>
        <color rgb="FF000000"/>
        <rFont val="Calibri"/>
        <scheme val="minor"/>
      </rPr>
      <t xml:space="preserve">OR
</t>
    </r>
    <r>
      <rPr>
        <sz val="12"/>
        <color rgb="FF000000"/>
        <rFont val="Calibri"/>
        <scheme val="minor"/>
      </rPr>
      <t>• Page should navigate to Features page</t>
    </r>
  </si>
  <si>
    <t>• URL changes to:
https://letter-drafting.vercel.app/#features
• Page does not scroll
• No redirection occurs
• No visible UI change</t>
  </si>
  <si>
    <t>TS_LP_03</t>
  </si>
  <si>
    <t>Verify "Sign Up" button redirects to sign up page</t>
  </si>
  <si>
    <t>• Open Landing Page
• Click on SignUp Button</t>
  </si>
  <si>
    <t>• Expected Redirect URL:
https://letter-drafting.vercel.app/register</t>
  </si>
  <si>
    <t>• User should be redirected to Sign Up page
• URL should change correctly
• Sign Up form should load
• No console errors
• No 4xx/5xx network errors</t>
  </si>
  <si>
    <t>• User is redirected to registration page
• no console error.</t>
  </si>
  <si>
    <t>TS_LP_04</t>
  </si>
  <si>
    <t>Verify "Login" button redirects to login page</t>
  </si>
  <si>
    <t>• Open Landing Page
• Click on Login Button</t>
  </si>
  <si>
    <t>• Expected Redirect URL:
https://letter-drafting.vercel.app/login</t>
  </si>
  <si>
    <t>• User should be redirected to Login page
• URL should change correctly
• Login form should load
• No console errors
• No 4xx/5xx network errors</t>
  </si>
  <si>
    <t>• User is redirected to login page
• no console error.</t>
  </si>
  <si>
    <t>Skipped</t>
  </si>
  <si>
    <t>TS_LP_05</t>
  </si>
  <si>
    <t>Verify that "Start Free Drafting" button redirects to signup page</t>
  </si>
  <si>
    <t>• Click on "Start Free Drafting" button.</t>
  </si>
  <si>
    <t>TS_LP_06</t>
  </si>
  <si>
    <t>Verify "Get Started Now" button redirect to registeration page</t>
  </si>
  <si>
    <t>• Click on "Get Started Now" button.</t>
  </si>
  <si>
    <t>TS_LP_07</t>
  </si>
  <si>
    <t>Landing Page
SignUp Page</t>
  </si>
  <si>
    <t>Verify “Start Drafting Free” button behavior aligns with payment requirement</t>
  </si>
  <si>
    <t>• Open Landing Page
• Observe CTA button text
• Click “Start Drafting Free”
• Attempt registration without payment</t>
  </si>
  <si>
    <t>• Valid Email
• Valid Password
• Valid PhoneNumber</t>
  </si>
  <si>
    <t>• One of the following must be true:
   If application is paid:
        CTA should NOT say “Free”
   Or pricing disclaimer should be visible
   If “Free” trial exists:
        User should be able to draft without payment</t>
  </si>
  <si>
    <t>• Button says “Start Drafting Free”
• Payment of ₹500 is mandatory for approval
• No free access provided</t>
  </si>
  <si>
    <t>TS_SUP_07</t>
  </si>
  <si>
    <t>SignUp Page</t>
  </si>
  <si>
    <t>• User is on signup page
• Page fully loaded
• Internet connection active</t>
  </si>
  <si>
    <t>• Click on the QR image.</t>
  </si>
  <si>
    <t>• QR image should expand in larger view (modal / popup / zoom view)
• Enlarged QR should be clearly visible and scannable
• A close option (X button or outside click) should be available</t>
  </si>
  <si>
    <t>• No action occurs
• Image does not expand
• No popup/modal appears
• No visual change observed</t>
  </si>
  <si>
    <t>TC_LD_09</t>
  </si>
  <si>
    <t>Verify Back button functionality on the Letter Drafting page redirects user to Home page</t>
  </si>
  <si>
    <t>• User is logged in
• User is on letter-drafting page</t>
  </si>
  <si>
    <t>• Press on "New Letter" button
• Press on back arrow button</t>
  </si>
  <si>
    <t>• User redirects on home page</t>
  </si>
  <si>
    <t>• User is redirected on landing Page</t>
  </si>
  <si>
    <t>TC_BP_10</t>
  </si>
  <si>
    <t>Verify saving business functionality</t>
  </si>
  <si>
    <t>• User is logged in
• User is on businesses page</t>
  </si>
  <si>
    <t>• Fill new business form with valid details
• Click save business button</t>
  </si>
  <si>
    <t>• Company Name: CName
• Business Address: 12 near 45
• Mobile: 1234567890
• Business Email: asdf@gmail.com
• Website: https://www.asdf-gmail11.com</t>
  </si>
  <si>
    <t>• User should be redirected to business page
• No Console errors</t>
  </si>
  <si>
    <t>• User is redirected to landing page</t>
  </si>
  <si>
    <t>Business is saved but the user is redirected to landing page</t>
  </si>
  <si>
    <t>TC_VAL_11</t>
  </si>
  <si>
    <t>Verify appropriate validation message is displayed when required fields are left empty during saving business.</t>
  </si>
  <si>
    <t>• User is logged in
• User is on bussinesses page</t>
  </si>
  <si>
    <t>• Leave Form fields empty
• Click save business button
• Observe workflow
• Repeat these steps but fill one field. and Observe the work flow</t>
  </si>
  <si>
    <t>• Field level error is displayed
• Form not saved</t>
  </si>
  <si>
    <t>• A pop up is displayed with a message
"failed to save business"</t>
  </si>
  <si>
    <t>Bug ID</t>
  </si>
  <si>
    <t>Related TC ID</t>
  </si>
  <si>
    <t>Description</t>
  </si>
  <si>
    <t>Steps to Reporduce</t>
  </si>
  <si>
    <t>Project Name:</t>
  </si>
  <si>
    <t>Test Cycle:</t>
  </si>
  <si>
    <t>Emvironment:</t>
  </si>
  <si>
    <t>URL:</t>
  </si>
  <si>
    <t>QA Name:</t>
  </si>
  <si>
    <t>Date:</t>
  </si>
  <si>
    <t>Metrics</t>
  </si>
  <si>
    <t>Values</t>
  </si>
  <si>
    <t>Total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</si>
</sst>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BFB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0" borderId="0" xfId="0" applyFont="1"/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vertical="center" wrapText="1"/>
    </xf>
    <xf numFmtId="0" fontId="4" fillId="6" borderId="5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0" fontId="4" fillId="6" borderId="0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1">
    <dxf>
      <font>
        <color theme="1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FFFFBFBF"/>
      <color rgb="FFFF3D44"/>
      <color rgb="FFFF8282"/>
      <color rgb="FFFF0000"/>
      <color rgb="FFFFC000"/>
      <color rgb="FFD19C17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workbookViewId="0">
      <selection activeCell="D8" sqref="D8"/>
    </sheetView>
  </sheetViews>
  <sheetFormatPr defaultRowHeight="15"/>
  <cols>
    <col min="1" max="1" width="12.140625" customWidth="1"/>
    <col min="2" max="2" width="18.28515625" bestFit="1" customWidth="1"/>
    <col min="3" max="3" width="80.7109375" customWidth="1"/>
    <col min="5" max="5" width="12.5703125" bestFit="1" customWidth="1"/>
    <col min="8" max="8" width="12.5703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0" t="s">
        <v>5</v>
      </c>
    </row>
    <row r="2" spans="1:9" ht="15.75" customHeight="1">
      <c r="A2" t="str">
        <f>"TS_LP_" &amp; TEXT(ROW() - 1,"00")</f>
        <v>TS_LP_01</v>
      </c>
      <c r="B2" t="s">
        <v>6</v>
      </c>
      <c r="C2" s="2" t="s">
        <v>7</v>
      </c>
      <c r="D2" s="3" t="s">
        <v>8</v>
      </c>
      <c r="E2" s="3" t="s">
        <v>9</v>
      </c>
      <c r="H2" s="10" t="s">
        <v>9</v>
      </c>
    </row>
    <row r="3" spans="1:9" ht="15" customHeight="1">
      <c r="A3" t="str">
        <f t="shared" ref="A3:A15" si="0">"TS_LP_" &amp; TEXT(ROW() - 1,"00")</f>
        <v>TS_LP_02</v>
      </c>
      <c r="B3" t="s">
        <v>6</v>
      </c>
      <c r="C3" s="2" t="s">
        <v>10</v>
      </c>
      <c r="D3" s="3" t="s">
        <v>11</v>
      </c>
      <c r="E3" s="3" t="s">
        <v>12</v>
      </c>
    </row>
    <row r="4" spans="1:9">
      <c r="A4" t="str">
        <f t="shared" si="0"/>
        <v>TS_LP_03</v>
      </c>
      <c r="B4" t="s">
        <v>6</v>
      </c>
      <c r="C4" s="2" t="s">
        <v>13</v>
      </c>
      <c r="D4" s="3" t="s">
        <v>8</v>
      </c>
      <c r="E4" s="3" t="s">
        <v>9</v>
      </c>
      <c r="H4" s="10" t="s">
        <v>12</v>
      </c>
    </row>
    <row r="5" spans="1:9" ht="15" customHeight="1">
      <c r="A5" t="str">
        <f t="shared" si="0"/>
        <v>TS_LP_04</v>
      </c>
      <c r="B5" t="s">
        <v>6</v>
      </c>
      <c r="C5" s="2" t="s">
        <v>14</v>
      </c>
      <c r="D5" s="3" t="s">
        <v>8</v>
      </c>
      <c r="E5" s="3" t="s">
        <v>9</v>
      </c>
      <c r="H5" s="10" t="s">
        <v>15</v>
      </c>
    </row>
    <row r="6" spans="1:9" ht="18" customHeight="1">
      <c r="A6" t="str">
        <f t="shared" si="0"/>
        <v>TS_LP_05</v>
      </c>
      <c r="B6" t="s">
        <v>6</v>
      </c>
      <c r="C6" s="2" t="s">
        <v>16</v>
      </c>
      <c r="D6" s="3" t="s">
        <v>8</v>
      </c>
      <c r="E6" s="3" t="s">
        <v>9</v>
      </c>
      <c r="H6" s="10" t="s">
        <v>17</v>
      </c>
    </row>
    <row r="7" spans="1:9" ht="19.5" customHeight="1">
      <c r="A7" t="str">
        <f t="shared" si="0"/>
        <v>TS_LP_06</v>
      </c>
      <c r="B7" t="s">
        <v>6</v>
      </c>
      <c r="C7" s="2" t="s">
        <v>18</v>
      </c>
      <c r="D7" s="3" t="s">
        <v>11</v>
      </c>
      <c r="E7" s="3" t="s">
        <v>9</v>
      </c>
    </row>
    <row r="8" spans="1:9" ht="22.5" customHeight="1">
      <c r="A8" t="str">
        <f t="shared" si="0"/>
        <v>TS_LP_07</v>
      </c>
      <c r="B8" t="s">
        <v>6</v>
      </c>
      <c r="C8" s="2" t="s">
        <v>19</v>
      </c>
      <c r="D8" s="3" t="s">
        <v>20</v>
      </c>
      <c r="E8" s="3" t="s">
        <v>12</v>
      </c>
    </row>
    <row r="9" spans="1:9" ht="19.5" customHeight="1">
      <c r="A9" t="str">
        <f t="shared" si="0"/>
        <v>TS_LP_08</v>
      </c>
      <c r="B9" t="s">
        <v>6</v>
      </c>
      <c r="C9" s="2" t="s">
        <v>21</v>
      </c>
      <c r="D9" s="3" t="s">
        <v>8</v>
      </c>
      <c r="E9" s="3" t="s">
        <v>9</v>
      </c>
      <c r="H9" s="5" t="s">
        <v>3</v>
      </c>
      <c r="I9" s="5" t="s">
        <v>22</v>
      </c>
    </row>
    <row r="10" spans="1:9" ht="19.5" customHeight="1">
      <c r="A10" t="str">
        <f t="shared" si="0"/>
        <v>TS_LP_09</v>
      </c>
      <c r="B10" t="s">
        <v>6</v>
      </c>
      <c r="C10" s="2" t="s">
        <v>23</v>
      </c>
      <c r="D10" s="3" t="s">
        <v>8</v>
      </c>
      <c r="E10" s="3" t="s">
        <v>12</v>
      </c>
      <c r="H10" s="6" t="s">
        <v>20</v>
      </c>
      <c r="I10" s="6" t="s">
        <v>24</v>
      </c>
    </row>
    <row r="11" spans="1:9" ht="17.25" customHeight="1">
      <c r="A11" t="str">
        <f t="shared" si="0"/>
        <v>TS_LP_10</v>
      </c>
      <c r="B11" t="s">
        <v>6</v>
      </c>
      <c r="C11" s="2" t="s">
        <v>25</v>
      </c>
      <c r="D11" s="3" t="s">
        <v>8</v>
      </c>
      <c r="E11" s="3" t="s">
        <v>9</v>
      </c>
      <c r="H11" s="7" t="s">
        <v>8</v>
      </c>
      <c r="I11" s="7" t="s">
        <v>26</v>
      </c>
    </row>
    <row r="12" spans="1:9" ht="18.75" customHeight="1">
      <c r="A12" t="str">
        <f t="shared" si="0"/>
        <v>TS_LP_11</v>
      </c>
      <c r="B12" t="s">
        <v>6</v>
      </c>
      <c r="C12" s="2" t="s">
        <v>27</v>
      </c>
      <c r="D12" s="3" t="s">
        <v>11</v>
      </c>
      <c r="E12" s="3" t="s">
        <v>9</v>
      </c>
      <c r="H12" s="8" t="s">
        <v>11</v>
      </c>
      <c r="I12" s="8" t="s">
        <v>28</v>
      </c>
    </row>
    <row r="13" spans="1:9" ht="17.25" customHeight="1">
      <c r="A13" t="str">
        <f t="shared" si="0"/>
        <v>TS_LP_12</v>
      </c>
      <c r="B13" t="s">
        <v>6</v>
      </c>
      <c r="C13" s="2" t="s">
        <v>29</v>
      </c>
      <c r="D13" s="3" t="s">
        <v>11</v>
      </c>
      <c r="E13" s="3" t="s">
        <v>9</v>
      </c>
      <c r="H13" s="9" t="s">
        <v>30</v>
      </c>
      <c r="I13" s="9" t="s">
        <v>31</v>
      </c>
    </row>
    <row r="14" spans="1:9" ht="18.75" customHeight="1">
      <c r="A14" t="str">
        <f t="shared" si="0"/>
        <v>TS_LP_13</v>
      </c>
      <c r="B14" t="s">
        <v>6</v>
      </c>
      <c r="C14" s="2" t="s">
        <v>32</v>
      </c>
      <c r="D14" s="3" t="s">
        <v>8</v>
      </c>
      <c r="E14" s="3" t="s">
        <v>9</v>
      </c>
    </row>
    <row r="15" spans="1:9">
      <c r="A15" t="str">
        <f>"TS_SUP_" &amp; TEXT(ROW() - 1,"00")</f>
        <v>TS_SUP_14</v>
      </c>
      <c r="B15" t="s">
        <v>33</v>
      </c>
      <c r="C15" s="2" t="s">
        <v>34</v>
      </c>
      <c r="D15" s="3" t="s">
        <v>20</v>
      </c>
      <c r="E15" s="3" t="s">
        <v>12</v>
      </c>
    </row>
    <row r="16" spans="1:9">
      <c r="A16" t="s">
        <v>35</v>
      </c>
      <c r="B16" s="3" t="s">
        <v>36</v>
      </c>
      <c r="C16" s="3" t="s">
        <v>37</v>
      </c>
      <c r="D16" s="3" t="s">
        <v>20</v>
      </c>
      <c r="E16" s="3" t="s">
        <v>9</v>
      </c>
    </row>
    <row r="17" spans="1:5">
      <c r="A17" s="3" t="s">
        <v>38</v>
      </c>
      <c r="B17" s="3" t="s">
        <v>39</v>
      </c>
      <c r="C17" s="3" t="s">
        <v>40</v>
      </c>
      <c r="D17" s="3" t="s">
        <v>20</v>
      </c>
      <c r="E17" s="3" t="s">
        <v>12</v>
      </c>
    </row>
    <row r="18" spans="1:5">
      <c r="A18" s="3" t="s">
        <v>41</v>
      </c>
      <c r="B18" s="3" t="s">
        <v>42</v>
      </c>
      <c r="C18" s="3" t="s">
        <v>43</v>
      </c>
      <c r="D18" s="3" t="s">
        <v>20</v>
      </c>
      <c r="E18" s="3" t="s">
        <v>12</v>
      </c>
    </row>
    <row r="19" spans="1:5" ht="45.75">
      <c r="A19" s="3" t="s">
        <v>44</v>
      </c>
      <c r="B19" s="34" t="s">
        <v>45</v>
      </c>
      <c r="C19" s="33" t="s">
        <v>46</v>
      </c>
      <c r="D19" s="3" t="s">
        <v>20</v>
      </c>
      <c r="E19" s="3" t="s">
        <v>12</v>
      </c>
    </row>
    <row r="20" spans="1:5">
      <c r="A20" s="3"/>
      <c r="B20" s="3"/>
      <c r="C20" s="3"/>
      <c r="D20" s="3"/>
      <c r="E20" s="3"/>
    </row>
    <row r="21" spans="1:5">
      <c r="A21" s="3"/>
      <c r="B21" s="3"/>
      <c r="C21" s="3"/>
      <c r="D21" s="3"/>
      <c r="E21" s="3"/>
    </row>
    <row r="22" spans="1:5">
      <c r="A22" s="3"/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4" spans="1:5">
      <c r="A24" s="3"/>
      <c r="B24" s="3"/>
      <c r="C24" s="3"/>
      <c r="D24" s="3"/>
      <c r="E24" s="3"/>
    </row>
    <row r="25" spans="1:5">
      <c r="A25" s="3"/>
      <c r="B25" s="3"/>
      <c r="C25" s="3"/>
      <c r="D25" s="3"/>
      <c r="E25" s="3"/>
    </row>
    <row r="26" spans="1:5">
      <c r="A26" s="3"/>
      <c r="B26" s="3"/>
      <c r="C26" s="3"/>
      <c r="D26" s="3"/>
      <c r="E26" s="3"/>
    </row>
    <row r="27" spans="1:5">
      <c r="A27" s="3"/>
      <c r="B27" s="3"/>
      <c r="C27" s="3"/>
      <c r="D27" s="3"/>
      <c r="E27" s="3"/>
    </row>
    <row r="28" spans="1:5">
      <c r="A28" s="1"/>
      <c r="B28" s="1"/>
      <c r="C28" s="4"/>
      <c r="D28" s="1"/>
      <c r="E28" s="1"/>
    </row>
  </sheetData>
  <conditionalFormatting sqref="H1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1048576">
    <cfRule type="cellIs" dxfId="0" priority="1" operator="equal">
      <formula>$H$4</formula>
    </cfRule>
  </conditionalFormatting>
  <dataValidations count="3">
    <dataValidation allowBlank="1" showInputMessage="1" showErrorMessage="1" sqref="D1:E1" xr:uid="{F14E8561-D590-446C-9AC4-36FECF310793}"/>
    <dataValidation type="list" allowBlank="1" showInputMessage="1" showErrorMessage="1" sqref="D42:D1048576 D2:D27" xr:uid="{C7CBE65F-20EC-4163-AB52-3BEB14538687}">
      <formula1>$H$10:$H$13</formula1>
    </dataValidation>
    <dataValidation type="list" allowBlank="1" showInputMessage="1" showErrorMessage="1" sqref="E42:E1048576 E2:E27" xr:uid="{9DAFAF15-329D-4632-A640-7D19FF18A21D}">
      <formula1>$H$1:$H$6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8369-A53C-4E09-BD40-33CDE5E72646}">
  <dimension ref="A1:T19"/>
  <sheetViews>
    <sheetView tabSelected="1" topLeftCell="E9" workbookViewId="0">
      <selection activeCell="J13" sqref="J13:J18"/>
    </sheetView>
  </sheetViews>
  <sheetFormatPr defaultRowHeight="15.75"/>
  <cols>
    <col min="1" max="1" width="11.42578125" style="31" bestFit="1" customWidth="1"/>
    <col min="2" max="2" width="10.7109375" style="31" bestFit="1" customWidth="1"/>
    <col min="3" max="3" width="23.5703125" style="14" customWidth="1"/>
    <col min="4" max="4" width="36.5703125" style="14" bestFit="1" customWidth="1"/>
    <col min="5" max="5" width="34.42578125" style="14" customWidth="1"/>
    <col min="6" max="6" width="33.5703125" style="14" customWidth="1"/>
    <col min="7" max="7" width="34.140625" style="14" customWidth="1"/>
    <col min="8" max="8" width="40.7109375" style="14" customWidth="1"/>
    <col min="9" max="9" width="39.85546875" style="14" customWidth="1"/>
    <col min="10" max="10" width="12.5703125" style="14" bestFit="1" customWidth="1"/>
    <col min="11" max="12" width="9.140625" style="14"/>
    <col min="13" max="13" width="20.85546875" style="14" bestFit="1" customWidth="1"/>
    <col min="14" max="15" width="9.140625" style="14"/>
    <col min="16" max="16" width="12.5703125" style="14" bestFit="1" customWidth="1"/>
    <col min="17" max="18" width="9.140625" style="14"/>
    <col min="19" max="19" width="10" style="14" customWidth="1"/>
    <col min="20" max="20" width="12" style="14" customWidth="1"/>
    <col min="21" max="16384" width="9.140625" style="14"/>
  </cols>
  <sheetData>
    <row r="1" spans="1:20" ht="32.25">
      <c r="A1" s="11" t="s">
        <v>47</v>
      </c>
      <c r="B1" s="11" t="s">
        <v>0</v>
      </c>
      <c r="C1" s="11" t="s">
        <v>1</v>
      </c>
      <c r="D1" s="11" t="s">
        <v>48</v>
      </c>
      <c r="E1" s="11" t="s">
        <v>49</v>
      </c>
      <c r="F1" s="11" t="s">
        <v>50</v>
      </c>
      <c r="G1" s="11" t="s">
        <v>51</v>
      </c>
      <c r="H1" s="11" t="s">
        <v>52</v>
      </c>
      <c r="I1" s="11" t="s">
        <v>53</v>
      </c>
      <c r="J1" s="11" t="s">
        <v>4</v>
      </c>
      <c r="K1" s="11" t="s">
        <v>54</v>
      </c>
      <c r="L1" s="11" t="s">
        <v>3</v>
      </c>
      <c r="M1" s="12" t="s">
        <v>55</v>
      </c>
      <c r="N1" s="13"/>
      <c r="P1" s="15" t="s">
        <v>5</v>
      </c>
      <c r="Q1" s="15" t="s">
        <v>24</v>
      </c>
      <c r="R1" s="15" t="s">
        <v>20</v>
      </c>
      <c r="S1" s="32" t="s">
        <v>3</v>
      </c>
      <c r="T1" s="32" t="s">
        <v>22</v>
      </c>
    </row>
    <row r="2" spans="1:20" ht="69" customHeight="1">
      <c r="A2" s="16" t="str">
        <f>"TC_LP_" &amp; TEXT(ROW() -1,"00")</f>
        <v>TC_LP_01</v>
      </c>
      <c r="B2" s="16" t="s">
        <v>56</v>
      </c>
      <c r="C2" s="16" t="s">
        <v>6</v>
      </c>
      <c r="D2" s="17" t="s">
        <v>57</v>
      </c>
      <c r="E2" s="18" t="s">
        <v>58</v>
      </c>
      <c r="F2" s="18" t="s">
        <v>59</v>
      </c>
      <c r="G2" s="18" t="s">
        <v>60</v>
      </c>
      <c r="H2" s="18" t="s">
        <v>61</v>
      </c>
      <c r="I2" s="18" t="s">
        <v>62</v>
      </c>
      <c r="J2" s="18" t="s">
        <v>63</v>
      </c>
      <c r="K2" s="18" t="s">
        <v>64</v>
      </c>
      <c r="L2" s="18" t="s">
        <v>64</v>
      </c>
      <c r="M2" s="19"/>
      <c r="P2" s="15" t="s">
        <v>63</v>
      </c>
      <c r="Q2" s="15" t="s">
        <v>26</v>
      </c>
      <c r="R2" s="15" t="s">
        <v>8</v>
      </c>
      <c r="S2" s="26" t="s">
        <v>20</v>
      </c>
      <c r="T2" s="26" t="s">
        <v>24</v>
      </c>
    </row>
    <row r="3" spans="1:20" ht="73.5" customHeight="1">
      <c r="A3" s="20" t="str">
        <f>"TC_LP_" &amp; TEXT(ROW() -1,"00")</f>
        <v>TC_LP_02</v>
      </c>
      <c r="B3" s="20" t="s">
        <v>65</v>
      </c>
      <c r="C3" s="20" t="s">
        <v>6</v>
      </c>
      <c r="D3" s="21" t="s">
        <v>66</v>
      </c>
      <c r="E3" s="22" t="s">
        <v>67</v>
      </c>
      <c r="F3" s="22" t="s">
        <v>68</v>
      </c>
      <c r="G3" s="22" t="s">
        <v>69</v>
      </c>
      <c r="H3" s="22" t="s">
        <v>70</v>
      </c>
      <c r="I3" s="22" t="s">
        <v>71</v>
      </c>
      <c r="J3" s="22" t="s">
        <v>12</v>
      </c>
      <c r="K3" s="22" t="s">
        <v>28</v>
      </c>
      <c r="L3" s="22" t="s">
        <v>11</v>
      </c>
      <c r="M3" s="23"/>
      <c r="P3" s="15"/>
      <c r="Q3" s="15"/>
      <c r="R3" s="15"/>
      <c r="S3" s="27" t="s">
        <v>8</v>
      </c>
      <c r="T3" s="27" t="s">
        <v>26</v>
      </c>
    </row>
    <row r="4" spans="1:20" ht="96.75">
      <c r="A4" s="16" t="str">
        <f>"TC_LP_" &amp; TEXT(ROW() -1,"00")</f>
        <v>TC_LP_03</v>
      </c>
      <c r="B4" s="16" t="s">
        <v>72</v>
      </c>
      <c r="C4" s="16" t="s">
        <v>6</v>
      </c>
      <c r="D4" s="17" t="s">
        <v>73</v>
      </c>
      <c r="E4" s="18" t="s">
        <v>67</v>
      </c>
      <c r="F4" s="18" t="s">
        <v>74</v>
      </c>
      <c r="G4" s="18" t="s">
        <v>75</v>
      </c>
      <c r="H4" s="18" t="s">
        <v>76</v>
      </c>
      <c r="I4" s="18" t="s">
        <v>77</v>
      </c>
      <c r="J4" s="18" t="s">
        <v>63</v>
      </c>
      <c r="K4" s="18" t="s">
        <v>64</v>
      </c>
      <c r="L4" s="18" t="s">
        <v>64</v>
      </c>
      <c r="M4" s="19"/>
      <c r="P4" s="15" t="s">
        <v>12</v>
      </c>
      <c r="Q4" s="15" t="s">
        <v>28</v>
      </c>
      <c r="R4" s="15" t="s">
        <v>11</v>
      </c>
      <c r="S4" s="28" t="s">
        <v>11</v>
      </c>
      <c r="T4" s="28" t="s">
        <v>28</v>
      </c>
    </row>
    <row r="5" spans="1:20" ht="86.25" customHeight="1">
      <c r="A5" s="16" t="str">
        <f>"TC_LP_" &amp; TEXT(ROW() -1,"00")</f>
        <v>TC_LP_04</v>
      </c>
      <c r="B5" s="16" t="s">
        <v>78</v>
      </c>
      <c r="C5" s="16" t="s">
        <v>6</v>
      </c>
      <c r="D5" s="17" t="s">
        <v>79</v>
      </c>
      <c r="E5" s="18" t="s">
        <v>67</v>
      </c>
      <c r="F5" s="18" t="s">
        <v>80</v>
      </c>
      <c r="G5" s="18" t="s">
        <v>81</v>
      </c>
      <c r="H5" s="18" t="s">
        <v>82</v>
      </c>
      <c r="I5" s="18" t="s">
        <v>83</v>
      </c>
      <c r="J5" s="18" t="s">
        <v>63</v>
      </c>
      <c r="K5" s="18" t="s">
        <v>64</v>
      </c>
      <c r="L5" s="18" t="s">
        <v>64</v>
      </c>
      <c r="M5" s="19"/>
      <c r="P5" s="15" t="s">
        <v>84</v>
      </c>
      <c r="Q5" s="15" t="s">
        <v>31</v>
      </c>
      <c r="R5" s="15" t="s">
        <v>30</v>
      </c>
      <c r="S5" s="29" t="s">
        <v>30</v>
      </c>
      <c r="T5" s="29" t="s">
        <v>31</v>
      </c>
    </row>
    <row r="6" spans="1:20" ht="103.5" customHeight="1">
      <c r="A6" s="16" t="str">
        <f t="shared" ref="A6:A8" si="0">"TC_LP_" &amp; TEXT(ROW() -1,"00")</f>
        <v>TC_LP_05</v>
      </c>
      <c r="B6" s="16" t="s">
        <v>85</v>
      </c>
      <c r="C6" s="16" t="s">
        <v>6</v>
      </c>
      <c r="D6" s="17" t="s">
        <v>86</v>
      </c>
      <c r="E6" s="18" t="s">
        <v>67</v>
      </c>
      <c r="F6" s="18" t="s">
        <v>87</v>
      </c>
      <c r="G6" s="18" t="s">
        <v>75</v>
      </c>
      <c r="H6" s="18" t="s">
        <v>76</v>
      </c>
      <c r="I6" s="18" t="s">
        <v>77</v>
      </c>
      <c r="J6" s="18" t="s">
        <v>63</v>
      </c>
      <c r="K6" s="18" t="s">
        <v>64</v>
      </c>
      <c r="L6" s="18" t="s">
        <v>64</v>
      </c>
      <c r="M6" s="19"/>
      <c r="P6" s="15" t="s">
        <v>15</v>
      </c>
      <c r="Q6" s="15" t="s">
        <v>64</v>
      </c>
      <c r="R6" s="15" t="s">
        <v>64</v>
      </c>
    </row>
    <row r="7" spans="1:20" ht="71.25" customHeight="1">
      <c r="A7" s="16" t="str">
        <f t="shared" si="0"/>
        <v>TC_LP_06</v>
      </c>
      <c r="B7" s="16" t="s">
        <v>88</v>
      </c>
      <c r="C7" s="16" t="s">
        <v>6</v>
      </c>
      <c r="D7" s="17" t="s">
        <v>89</v>
      </c>
      <c r="E7" s="18" t="s">
        <v>67</v>
      </c>
      <c r="F7" s="18" t="s">
        <v>90</v>
      </c>
      <c r="G7" s="18" t="s">
        <v>75</v>
      </c>
      <c r="H7" s="18" t="s">
        <v>76</v>
      </c>
      <c r="I7" s="18" t="s">
        <v>77</v>
      </c>
      <c r="J7" s="18" t="s">
        <v>63</v>
      </c>
      <c r="K7" s="18" t="s">
        <v>64</v>
      </c>
      <c r="L7" s="18" t="s">
        <v>64</v>
      </c>
      <c r="M7" s="19"/>
      <c r="P7" s="15" t="s">
        <v>17</v>
      </c>
      <c r="Q7" s="15"/>
    </row>
    <row r="8" spans="1:20" ht="90.75" customHeight="1">
      <c r="A8" s="20" t="str">
        <f t="shared" si="0"/>
        <v>TC_LP_07</v>
      </c>
      <c r="B8" s="20" t="s">
        <v>91</v>
      </c>
      <c r="C8" s="20" t="s">
        <v>92</v>
      </c>
      <c r="D8" s="24" t="s">
        <v>93</v>
      </c>
      <c r="E8" s="22" t="s">
        <v>67</v>
      </c>
      <c r="F8" s="22" t="s">
        <v>94</v>
      </c>
      <c r="G8" s="22" t="s">
        <v>95</v>
      </c>
      <c r="H8" s="22" t="s">
        <v>96</v>
      </c>
      <c r="I8" s="22" t="s">
        <v>97</v>
      </c>
      <c r="J8" s="22" t="s">
        <v>12</v>
      </c>
      <c r="K8" s="22" t="s">
        <v>28</v>
      </c>
      <c r="L8" s="22" t="s">
        <v>20</v>
      </c>
      <c r="M8" s="23"/>
      <c r="P8" s="15"/>
      <c r="Q8" s="15"/>
    </row>
    <row r="9" spans="1:20" ht="94.5" customHeight="1">
      <c r="A9" s="20" t="str">
        <f>"TC_SUP_" &amp; TEXT(ROW() -1,"00")</f>
        <v>TC_SUP_08</v>
      </c>
      <c r="B9" s="20" t="s">
        <v>98</v>
      </c>
      <c r="C9" s="20" t="s">
        <v>99</v>
      </c>
      <c r="D9" s="25" t="s">
        <v>34</v>
      </c>
      <c r="E9" s="22" t="s">
        <v>100</v>
      </c>
      <c r="F9" s="22" t="s">
        <v>101</v>
      </c>
      <c r="G9" s="22" t="s">
        <v>64</v>
      </c>
      <c r="H9" s="22" t="s">
        <v>102</v>
      </c>
      <c r="I9" s="22" t="s">
        <v>103</v>
      </c>
      <c r="J9" s="22" t="s">
        <v>12</v>
      </c>
      <c r="K9" s="22" t="s">
        <v>26</v>
      </c>
      <c r="L9" s="22" t="s">
        <v>20</v>
      </c>
      <c r="M9" s="23"/>
    </row>
    <row r="10" spans="1:20" ht="47.25" customHeight="1">
      <c r="A10" s="20" t="s">
        <v>104</v>
      </c>
      <c r="B10" s="20" t="s">
        <v>38</v>
      </c>
      <c r="C10" s="20" t="s">
        <v>39</v>
      </c>
      <c r="D10" s="21" t="s">
        <v>105</v>
      </c>
      <c r="E10" s="22" t="s">
        <v>106</v>
      </c>
      <c r="F10" s="22" t="s">
        <v>107</v>
      </c>
      <c r="G10" s="22" t="s">
        <v>64</v>
      </c>
      <c r="H10" s="22" t="s">
        <v>108</v>
      </c>
      <c r="I10" s="22" t="s">
        <v>109</v>
      </c>
      <c r="J10" s="22" t="s">
        <v>12</v>
      </c>
      <c r="K10" s="22" t="s">
        <v>24</v>
      </c>
      <c r="L10" s="22" t="s">
        <v>20</v>
      </c>
      <c r="M10" s="23"/>
    </row>
    <row r="11" spans="1:20" ht="158.25" customHeight="1">
      <c r="A11" s="20" t="s">
        <v>110</v>
      </c>
      <c r="B11" s="20" t="s">
        <v>41</v>
      </c>
      <c r="C11" s="20" t="s">
        <v>42</v>
      </c>
      <c r="D11" s="21" t="s">
        <v>111</v>
      </c>
      <c r="E11" s="22" t="s">
        <v>112</v>
      </c>
      <c r="F11" s="22" t="s">
        <v>113</v>
      </c>
      <c r="G11" s="22" t="s">
        <v>114</v>
      </c>
      <c r="H11" s="22" t="s">
        <v>115</v>
      </c>
      <c r="I11" s="22" t="s">
        <v>116</v>
      </c>
      <c r="J11" s="22" t="s">
        <v>12</v>
      </c>
      <c r="K11" s="22" t="s">
        <v>24</v>
      </c>
      <c r="L11" s="22" t="s">
        <v>20</v>
      </c>
      <c r="M11" s="23" t="s">
        <v>117</v>
      </c>
    </row>
    <row r="12" spans="1:20" ht="96.75">
      <c r="A12" s="20" t="s">
        <v>118</v>
      </c>
      <c r="B12" s="20" t="s">
        <v>44</v>
      </c>
      <c r="C12" s="20" t="s">
        <v>42</v>
      </c>
      <c r="D12" s="21" t="s">
        <v>119</v>
      </c>
      <c r="E12" s="22" t="s">
        <v>120</v>
      </c>
      <c r="F12" s="22" t="s">
        <v>121</v>
      </c>
      <c r="G12" s="22" t="s">
        <v>114</v>
      </c>
      <c r="H12" s="22" t="s">
        <v>122</v>
      </c>
      <c r="I12" s="22" t="s">
        <v>123</v>
      </c>
      <c r="J12" s="22" t="s">
        <v>12</v>
      </c>
      <c r="K12" s="22" t="s">
        <v>24</v>
      </c>
      <c r="L12" s="22" t="s">
        <v>20</v>
      </c>
      <c r="M12" s="23"/>
    </row>
    <row r="13" spans="1:20">
      <c r="A13" s="16"/>
      <c r="B13" s="16"/>
      <c r="C13" s="16"/>
      <c r="D13" s="17"/>
      <c r="E13" s="18"/>
      <c r="F13" s="18"/>
      <c r="G13" s="18"/>
      <c r="H13" s="18"/>
      <c r="I13" s="18"/>
      <c r="J13" s="18"/>
      <c r="K13" s="18"/>
      <c r="L13" s="18"/>
      <c r="M13" s="19"/>
    </row>
    <row r="14" spans="1:20">
      <c r="A14" s="16"/>
      <c r="B14" s="16"/>
      <c r="C14" s="16"/>
      <c r="D14" s="17"/>
      <c r="E14" s="18"/>
      <c r="F14" s="18"/>
      <c r="G14" s="18"/>
      <c r="H14" s="18"/>
      <c r="I14" s="18"/>
      <c r="J14" s="18"/>
      <c r="K14" s="18"/>
      <c r="L14" s="18"/>
      <c r="M14" s="19"/>
    </row>
    <row r="15" spans="1:20">
      <c r="A15" s="16"/>
      <c r="B15" s="16"/>
      <c r="C15" s="16"/>
      <c r="D15" s="17"/>
      <c r="E15" s="18"/>
      <c r="F15" s="18"/>
      <c r="G15" s="18"/>
      <c r="H15" s="18"/>
      <c r="I15" s="18"/>
      <c r="J15" s="18"/>
      <c r="K15" s="18"/>
      <c r="L15" s="18"/>
      <c r="M15" s="19"/>
    </row>
    <row r="16" spans="1:20">
      <c r="A16" s="16"/>
      <c r="B16" s="16"/>
      <c r="C16" s="16"/>
      <c r="D16" s="17"/>
      <c r="E16" s="18"/>
      <c r="F16" s="18"/>
      <c r="G16" s="18"/>
      <c r="H16" s="18"/>
      <c r="I16" s="18"/>
      <c r="J16" s="18"/>
      <c r="K16" s="18"/>
      <c r="L16" s="18"/>
      <c r="M16" s="19"/>
    </row>
    <row r="17" spans="1:14">
      <c r="A17" s="16"/>
      <c r="B17" s="16"/>
      <c r="C17" s="16"/>
      <c r="D17" s="17"/>
      <c r="E17" s="18"/>
      <c r="F17" s="18"/>
      <c r="G17" s="18"/>
      <c r="H17" s="18"/>
      <c r="I17" s="18"/>
      <c r="J17" s="18"/>
      <c r="K17" s="18"/>
      <c r="L17" s="18"/>
      <c r="M17" s="19"/>
    </row>
    <row r="18" spans="1:14">
      <c r="A18" s="16"/>
      <c r="B18" s="16"/>
      <c r="C18" s="16"/>
      <c r="D18" s="17"/>
      <c r="E18" s="18"/>
      <c r="F18" s="18"/>
      <c r="G18" s="18"/>
      <c r="H18" s="18"/>
      <c r="I18" s="18"/>
      <c r="J18" s="18"/>
      <c r="K18" s="18"/>
      <c r="L18" s="18"/>
      <c r="M18" s="19"/>
    </row>
    <row r="19" spans="1:14">
      <c r="A19" s="16"/>
      <c r="B19" s="16"/>
      <c r="C19" s="16"/>
      <c r="D19" s="17"/>
      <c r="E19" s="18"/>
      <c r="F19" s="18"/>
      <c r="G19" s="18"/>
      <c r="H19" s="18"/>
      <c r="I19" s="18"/>
      <c r="J19" s="18"/>
      <c r="K19" s="18"/>
      <c r="L19" s="18"/>
      <c r="M19" s="18"/>
      <c r="N19" s="30"/>
    </row>
  </sheetData>
  <conditionalFormatting sqref="S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4">
    <dataValidation allowBlank="1" showInputMessage="1" showErrorMessage="1" sqref="J1" xr:uid="{0AF7915E-8791-437F-A7F2-1D9AD790259D}"/>
    <dataValidation type="list" allowBlank="1" showInputMessage="1" showErrorMessage="1" sqref="J2:J1048576" xr:uid="{C6B29D47-A390-43F4-8A9B-2D13A5339E9D}">
      <formula1>$P$1:$P$6</formula1>
    </dataValidation>
    <dataValidation type="list" allowBlank="1" showInputMessage="1" showErrorMessage="1" sqref="K2:K1048576" xr:uid="{E9744C5A-0053-4C31-ABC7-43329430EBB5}">
      <formula1>$Q$1:$Q$6</formula1>
    </dataValidation>
    <dataValidation type="list" allowBlank="1" showInputMessage="1" showErrorMessage="1" sqref="L2:L1048576" xr:uid="{8151AFDF-22BA-45C1-B671-0741739A6215}">
      <formula1>$R$1:$R$6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AB2B6-B4C7-486B-B8EC-50CA022E9F5A}">
  <dimension ref="A1:K1"/>
  <sheetViews>
    <sheetView workbookViewId="0">
      <selection activeCell="F8" sqref="F8"/>
    </sheetView>
  </sheetViews>
  <sheetFormatPr defaultRowHeight="15"/>
  <cols>
    <col min="2" max="2" width="12.5703125" bestFit="1" customWidth="1"/>
    <col min="5" max="5" width="10.85546875" bestFit="1" customWidth="1"/>
    <col min="6" max="6" width="17.85546875" bestFit="1" customWidth="1"/>
    <col min="7" max="7" width="14.7109375" bestFit="1" customWidth="1"/>
    <col min="8" max="8" width="12.28515625" bestFit="1" customWidth="1"/>
  </cols>
  <sheetData>
    <row r="1" spans="1:11">
      <c r="A1" s="1" t="s">
        <v>124</v>
      </c>
      <c r="B1" s="1" t="s">
        <v>125</v>
      </c>
      <c r="C1" s="1" t="s">
        <v>1</v>
      </c>
      <c r="D1" s="1" t="s">
        <v>48</v>
      </c>
      <c r="E1" s="1" t="s">
        <v>126</v>
      </c>
      <c r="F1" s="1" t="s">
        <v>127</v>
      </c>
      <c r="G1" s="1" t="s">
        <v>52</v>
      </c>
      <c r="H1" s="1" t="s">
        <v>53</v>
      </c>
      <c r="I1" s="1" t="s">
        <v>54</v>
      </c>
      <c r="J1" s="1" t="s">
        <v>3</v>
      </c>
      <c r="K1" s="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A3B9-3722-4896-9B96-735C50B146A9}">
  <dimension ref="A1:E13"/>
  <sheetViews>
    <sheetView workbookViewId="0">
      <selection activeCell="B2" sqref="B2"/>
    </sheetView>
  </sheetViews>
  <sheetFormatPr defaultRowHeight="15"/>
  <cols>
    <col min="1" max="1" width="13.28515625" bestFit="1" customWidth="1"/>
  </cols>
  <sheetData>
    <row r="1" spans="1:5">
      <c r="A1" t="s">
        <v>128</v>
      </c>
      <c r="B1" s="36"/>
      <c r="C1" s="36"/>
      <c r="D1" s="36"/>
      <c r="E1" s="36"/>
    </row>
    <row r="2" spans="1:5">
      <c r="A2" t="s">
        <v>129</v>
      </c>
    </row>
    <row r="3" spans="1:5">
      <c r="A3" t="s">
        <v>130</v>
      </c>
    </row>
    <row r="4" spans="1:5">
      <c r="A4" t="s">
        <v>131</v>
      </c>
    </row>
    <row r="5" spans="1:5">
      <c r="A5" t="s">
        <v>132</v>
      </c>
    </row>
    <row r="6" spans="1:5">
      <c r="A6" t="s">
        <v>133</v>
      </c>
    </row>
    <row r="9" spans="1:5">
      <c r="A9" s="37" t="s">
        <v>134</v>
      </c>
      <c r="B9" s="37"/>
      <c r="C9" s="37" t="s">
        <v>135</v>
      </c>
      <c r="D9" s="37"/>
    </row>
    <row r="10" spans="1:5">
      <c r="A10" s="38" t="s">
        <v>136</v>
      </c>
      <c r="B10" s="38"/>
      <c r="C10" s="35"/>
      <c r="D10" s="35"/>
    </row>
    <row r="11" spans="1:5">
      <c r="A11" s="38" t="s">
        <v>63</v>
      </c>
      <c r="B11" s="38"/>
      <c r="C11" s="35"/>
      <c r="D11" s="35"/>
    </row>
    <row r="12" spans="1:5">
      <c r="A12" s="38" t="s">
        <v>12</v>
      </c>
      <c r="B12" s="38"/>
      <c r="C12" s="35"/>
      <c r="D12" s="35"/>
    </row>
    <row r="13" spans="1:5">
      <c r="A13" s="38" t="s">
        <v>15</v>
      </c>
      <c r="B13" s="38"/>
      <c r="C13" s="35"/>
      <c r="D13" s="35"/>
    </row>
  </sheetData>
  <mergeCells count="11">
    <mergeCell ref="C10:D10"/>
    <mergeCell ref="C11:D11"/>
    <mergeCell ref="C12:D12"/>
    <mergeCell ref="C13:D13"/>
    <mergeCell ref="B1:E1"/>
    <mergeCell ref="A9:B9"/>
    <mergeCell ref="A10:B10"/>
    <mergeCell ref="A11:B11"/>
    <mergeCell ref="A12:B12"/>
    <mergeCell ref="A13:B13"/>
    <mergeCell ref="C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2026-02-27T08:24:59Z</dcterms:created>
  <dcterms:modified xsi:type="dcterms:W3CDTF">2026-03-16T08:48:34Z</dcterms:modified>
  <cp:category/>
  <cp:contentStatus/>
</cp:coreProperties>
</file>